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alozenia" sheetId="1" state="visible" r:id="rId1"/>
    <sheet name="Koszt obslugi" sheetId="2" state="visible" r:id="rId2"/>
    <sheet name="Cennik" sheetId="3" state="visible" r:id="rId3"/>
    <sheet name="Marza CAC LTV" sheetId="4" state="visible" r:id="rId4"/>
    <sheet name="Prog rentownosci" sheetId="5" state="visible" r:id="rId5"/>
    <sheet name="Kohorta founding" sheetId="6" state="visible" r:id="rId6"/>
    <sheet name="Wykorzystanie srodkow" sheetId="7" state="visible" r:id="rId7"/>
    <sheet name="Model cenowy" sheetId="8" state="visible" r:id="rId8"/>
    <sheet name="Plan 12 miesiec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.0000"/>
    <numFmt numFmtId="165" formatCode="#,##0;(#,##0);-"/>
    <numFmt numFmtId="166" formatCode="0.0000"/>
    <numFmt numFmtId="167" formatCode="0.0%"/>
    <numFmt numFmtId="168" formatCode="#,##0.00;(#,##0.00);-"/>
    <numFmt numFmtId="169" formatCode="0.0"/>
    <numFmt numFmtId="170" formatCode="0.0&quot;x&quot;"/>
  </numFmts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808080"/>
      <sz val="9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/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4" fillId="0" borderId="0" pivotButton="0" quotePrefix="0" xfId="0"/>
    <xf numFmtId="0" fontId="5" fillId="0" borderId="1" pivotButton="0" quotePrefix="0" xfId="0"/>
    <xf numFmtId="0" fontId="0" fillId="0" borderId="1" pivotButton="0" quotePrefix="0" xfId="0"/>
    <xf numFmtId="164" fontId="4" fillId="0" borderId="0" pivotButton="0" quotePrefix="0" xfId="0"/>
    <xf numFmtId="165" fontId="4" fillId="2" borderId="0" pivotButton="0" quotePrefix="0" xfId="0"/>
    <xf numFmtId="165" fontId="4" fillId="0" borderId="0" pivotButton="0" quotePrefix="0" xfId="0"/>
    <xf numFmtId="0" fontId="5" fillId="0" borderId="0" pivotButton="0" quotePrefix="0" xfId="0"/>
    <xf numFmtId="165" fontId="3" fillId="0" borderId="0" pivotButton="0" quotePrefix="0" xfId="0"/>
    <xf numFmtId="166" fontId="4" fillId="0" borderId="0" pivotButton="0" quotePrefix="0" xfId="0"/>
    <xf numFmtId="167" fontId="4" fillId="2" borderId="0" pivotButton="0" quotePrefix="0" xfId="0"/>
    <xf numFmtId="165" fontId="6" fillId="0" borderId="0" pivotButton="0" quotePrefix="0" xfId="0"/>
    <xf numFmtId="165" fontId="5" fillId="0" borderId="1" pivotButton="0" quotePrefix="0" xfId="0"/>
    <xf numFmtId="165" fontId="0" fillId="0" borderId="0" pivotButton="0" quotePrefix="0" xfId="0"/>
    <xf numFmtId="167" fontId="0" fillId="0" borderId="0" pivotButton="0" quotePrefix="0" xfId="0"/>
    <xf numFmtId="167" fontId="4" fillId="0" borderId="0" pivotButton="0" quotePrefix="0" xfId="0"/>
    <xf numFmtId="168" fontId="0" fillId="0" borderId="0" pivotButton="0" quotePrefix="0" xfId="0"/>
    <xf numFmtId="167" fontId="3" fillId="0" borderId="0" pivotButton="0" quotePrefix="0" xfId="0"/>
    <xf numFmtId="169" fontId="3" fillId="0" borderId="0" pivotButton="0" quotePrefix="0" xfId="0"/>
    <xf numFmtId="170" fontId="3" fillId="0" borderId="0" pivotButton="0" quotePrefix="0" xfId="0"/>
    <xf numFmtId="2" fontId="3" fillId="0" borderId="0" pivotButton="0" quotePrefix="0" xfId="0"/>
    <xf numFmtId="0" fontId="5" fillId="0" borderId="1" applyAlignment="1" pivotButton="0" quotePrefix="0" xfId="0">
      <alignment vertical="bottom" wrapText="1"/>
    </xf>
    <xf numFmtId="2" fontId="0" fillId="0" borderId="0" pivotButton="0" quotePrefix="0" xfId="0"/>
    <xf numFmtId="165" fontId="5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170" fontId="5" fillId="0" borderId="0" pivotButton="0" quotePrefix="0" xfId="0"/>
    <xf numFmtId="167" fontId="5" fillId="0" borderId="1" pivotButton="0" quotePrefix="0" xfId="0"/>
    <xf numFmtId="167" fontId="5" fillId="0" borderId="0" pivotButton="0" quotePrefix="0" xfId="0"/>
    <xf numFmtId="169" fontId="0" fillId="0" borderId="0" pivotButton="0" quotePrefix="0" xfId="0"/>
    <xf numFmtId="1" fontId="4" fillId="2" borderId="0" pivotButton="0" quotePrefix="0" xfId="0"/>
    <xf numFmtId="165" fontId="4" fillId="2" borderId="1" pivotButton="0" quotePrefix="0" xfId="0"/>
    <xf numFmtId="1" fontId="0" fillId="0" borderId="0" pivotButton="0" quotePrefix="0" xfId="0"/>
    <xf numFmtId="1" fontId="5" fillId="0" borderId="0" pivotButton="0" quotePrefix="0" xfId="0"/>
    <xf numFmtId="0" fontId="1" fillId="0" borderId="2" pivotButton="0" quotePrefix="0" xfId="0"/>
    <xf numFmtId="0" fontId="0" fillId="0" borderId="2" pivotButton="0" quotePrefix="0" xfId="0"/>
    <xf numFmtId="0" fontId="2" fillId="0" borderId="2" pivotButton="0" quotePrefix="0" xfId="0"/>
    <xf numFmtId="0" fontId="5" fillId="0" borderId="2" pivotButton="0" quotePrefix="0" xfId="0"/>
    <xf numFmtId="0" fontId="3" fillId="0" borderId="2" pivotButton="0" quotePrefix="0" xfId="0"/>
    <xf numFmtId="165" fontId="4" fillId="2" borderId="2" pivotButton="0" quotePrefix="0" xfId="0"/>
    <xf numFmtId="167" fontId="0" fillId="0" borderId="2" pivotButton="0" quotePrefix="0" xfId="0"/>
    <xf numFmtId="165" fontId="4" fillId="0" borderId="2" pivotButton="0" quotePrefix="0" xfId="0"/>
    <xf numFmtId="165" fontId="3" fillId="0" borderId="2" pivotButton="0" quotePrefix="0" xfId="0"/>
    <xf numFmtId="167" fontId="5" fillId="0" borderId="2" pivotButton="0" quotePrefix="0" xfId="0"/>
    <xf numFmtId="165" fontId="5" fillId="0" borderId="2" pivotButton="0" quotePrefix="0" xfId="0"/>
    <xf numFmtId="169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3" customWidth="1" min="3" max="3"/>
    <col width="72" customWidth="1" min="4" max="4"/>
  </cols>
  <sheetData>
    <row r="1">
      <c r="A1" s="1" t="inlineStr">
        <is>
          <t>ValenOS - model finansowy</t>
        </is>
      </c>
    </row>
    <row r="2">
      <c r="A2" s="2" t="inlineStr">
        <is>
          <t>Komorki niebieskie to dane wejsciowe. Zmien je, a caly model przeliczy sie sam. Komorki czarne to formuly - nie nadpisuj.</t>
        </is>
      </c>
    </row>
    <row r="3">
      <c r="A3" s="3" t="inlineStr">
        <is>
          <t>Kurs PLN/USD</t>
        </is>
      </c>
      <c r="B3" s="4" t="n">
        <v>3.85</v>
      </c>
      <c r="D3" s="2" t="inlineStr">
        <is>
          <t>Zalozenie</t>
        </is>
      </c>
    </row>
    <row r="5">
      <c r="A5" s="5" t="inlineStr">
        <is>
          <t>Koszt tokenow na jednostke (USD)</t>
        </is>
      </c>
      <c r="B5" s="6" t="n"/>
      <c r="C5" s="6" t="n"/>
      <c r="D5" s="6" t="n"/>
    </row>
    <row r="6">
      <c r="A6" s="3" t="inlineStr">
        <is>
          <t>Screening jednej firmy</t>
        </is>
      </c>
      <c r="B6" s="7" t="n">
        <v>0.03</v>
      </c>
      <c r="D6" s="2" t="inlineStr">
        <is>
          <t>Zalozenie. Model tani, krotki prompt.</t>
        </is>
      </c>
    </row>
    <row r="7">
      <c r="A7" s="3" t="inlineStr">
        <is>
          <t>Wzbogacenie jednej firmy</t>
        </is>
      </c>
      <c r="B7" s="7" t="n">
        <v>0.15</v>
      </c>
      <c r="D7" s="2" t="inlineStr">
        <is>
          <t>Zalozenie. Przy zoptymalizowanej ekstrakcji tresci. Bez niej ok. 0,60.</t>
        </is>
      </c>
    </row>
    <row r="8">
      <c r="A8" s="3" t="inlineStr">
        <is>
          <t>Wzbogacenie jednego kontaktu</t>
        </is>
      </c>
      <c r="B8" s="7" t="n">
        <v>0.025</v>
      </c>
      <c r="D8" s="2" t="inlineStr">
        <is>
          <t>Zalozenie</t>
        </is>
      </c>
    </row>
    <row r="9">
      <c r="A9" s="3" t="inlineStr">
        <is>
          <t>Napisanie i wyslanie maila</t>
        </is>
      </c>
      <c r="B9" s="7" t="n">
        <v>0.02</v>
      </c>
      <c r="D9" s="2" t="inlineStr">
        <is>
          <t>Zalozenie. Przy cache'owaniu kontekstu.</t>
        </is>
      </c>
    </row>
    <row r="10">
      <c r="A10" s="3" t="inlineStr">
        <is>
          <t>Jedna akcja agenta CRM</t>
        </is>
      </c>
      <c r="B10" s="7" t="n">
        <v>0.005</v>
      </c>
      <c r="D10" s="2" t="inlineStr">
        <is>
          <t>Zalozenie</t>
        </is>
      </c>
    </row>
    <row r="12">
      <c r="A12" s="5" t="inlineStr">
        <is>
          <t>Wolumen na jednego klienta miesiecznie</t>
        </is>
      </c>
      <c r="B12" s="6" t="n"/>
      <c r="C12" s="6" t="n"/>
      <c r="D12" s="6" t="n"/>
    </row>
    <row r="13">
      <c r="A13" s="3" t="inlineStr">
        <is>
          <t>Firmy przeskanowane</t>
        </is>
      </c>
      <c r="B13" s="8" t="n">
        <v>1000</v>
      </c>
      <c r="D13" s="2" t="inlineStr">
        <is>
          <t>Zalozenie - DO POTWIERDZENIA</t>
        </is>
      </c>
    </row>
    <row r="14">
      <c r="A14" s="3" t="inlineStr">
        <is>
          <t>Firmy wzbogacone</t>
        </is>
      </c>
      <c r="B14" s="8" t="n">
        <v>250</v>
      </c>
      <c r="D14" s="2" t="inlineStr">
        <is>
          <t>Zalozenie - DO POTWIERDZENIA</t>
        </is>
      </c>
    </row>
    <row r="15">
      <c r="A15" s="3" t="inlineStr">
        <is>
          <t>Kontakty wzbogacone</t>
        </is>
      </c>
      <c r="B15" s="8" t="n">
        <v>600</v>
      </c>
      <c r="D15" s="2" t="inlineStr">
        <is>
          <t>Zalozenie - DO POTWIERDZENIA</t>
        </is>
      </c>
    </row>
    <row r="16">
      <c r="A16" s="3" t="inlineStr">
        <is>
          <t>Maile wyslane</t>
        </is>
      </c>
      <c r="B16" s="8" t="n">
        <v>2400</v>
      </c>
      <c r="D16" s="2" t="inlineStr">
        <is>
          <t>Zalozenie. Ok. 110 dziennie - sufit dostarczalnosci.</t>
        </is>
      </c>
    </row>
    <row r="17">
      <c r="A17" s="3" t="inlineStr">
        <is>
          <t>Akcje agenta CRM</t>
        </is>
      </c>
      <c r="B17" s="9" t="n">
        <v>2000</v>
      </c>
      <c r="D17" s="2" t="inlineStr">
        <is>
          <t>Zalozenie</t>
        </is>
      </c>
    </row>
    <row r="19">
      <c r="A19" s="5" t="inlineStr">
        <is>
          <t>Pozostale koszty obslugi (PLN/mies.)</t>
        </is>
      </c>
      <c r="B19" s="6" t="n"/>
      <c r="C19" s="6" t="n"/>
      <c r="D19" s="6" t="n"/>
    </row>
    <row r="20">
      <c r="A20" s="3" t="inlineStr">
        <is>
          <t>Dane przy 1 kliencie</t>
        </is>
      </c>
      <c r="B20" s="9" t="n">
        <v>240</v>
      </c>
      <c r="D20" s="2" t="inlineStr">
        <is>
          <t>Apollo, wyszukiwarka, weryfikacja, wysylka. Klient wysyla z wlasnych domen.</t>
        </is>
      </c>
    </row>
    <row r="21">
      <c r="A21" s="3" t="inlineStr">
        <is>
          <t>Dane przy 10 klientach</t>
        </is>
      </c>
      <c r="B21" s="9" t="n">
        <v>230</v>
      </c>
    </row>
    <row r="22">
      <c r="A22" s="3" t="inlineStr">
        <is>
          <t>Dane przy 50 klientach</t>
        </is>
      </c>
      <c r="B22" s="9" t="n">
        <v>215</v>
      </c>
    </row>
    <row r="23">
      <c r="A23" s="3" t="inlineStr">
        <is>
          <t>Infrastruktura lacznie przy 1</t>
        </is>
      </c>
      <c r="B23" s="9" t="n">
        <v>770</v>
      </c>
      <c r="D23" s="2" t="inlineStr">
        <is>
          <t>Hosting, baza, workery, auth, monitoring</t>
        </is>
      </c>
    </row>
    <row r="24">
      <c r="A24" s="3" t="inlineStr">
        <is>
          <t>Infrastruktura lacznie przy 10</t>
        </is>
      </c>
      <c r="B24" s="9" t="n">
        <v>1230</v>
      </c>
    </row>
    <row r="25">
      <c r="A25" s="3" t="inlineStr">
        <is>
          <t>Infrastruktura lacznie przy 50</t>
        </is>
      </c>
      <c r="B25" s="9" t="n">
        <v>3465</v>
      </c>
    </row>
    <row r="26">
      <c r="A26" s="3" t="inlineStr">
        <is>
          <t>Wsparcie przy 1</t>
        </is>
      </c>
      <c r="B26" s="9" t="n">
        <v>300</v>
      </c>
      <c r="D26" s="2" t="inlineStr">
        <is>
          <t>3 h/mies. po 100 PLN - koszt alternatywny czasu</t>
        </is>
      </c>
    </row>
    <row r="27">
      <c r="A27" s="3" t="inlineStr">
        <is>
          <t>Wsparcie przy 10</t>
        </is>
      </c>
      <c r="B27" s="9" t="n">
        <v>250</v>
      </c>
    </row>
    <row r="28">
      <c r="A28" s="3" t="inlineStr">
        <is>
          <t>Wsparcie przy 50</t>
        </is>
      </c>
      <c r="B28" s="9" t="n">
        <v>200</v>
      </c>
    </row>
    <row r="30">
      <c r="A30" s="5" t="inlineStr">
        <is>
          <t>Cennik</t>
        </is>
      </c>
      <c r="B30" s="6" t="n"/>
      <c r="C30" s="6" t="n"/>
      <c r="D30" s="6" t="n"/>
    </row>
    <row r="31">
      <c r="A31" s="3" t="inlineStr">
        <is>
          <t>Abonament founding (PLN/mies.)</t>
        </is>
      </c>
      <c r="B31" s="9" t="n">
        <v>3000</v>
      </c>
      <c r="D31" s="2" t="inlineStr">
        <is>
          <t>Zablokowany na stale - patrz zakladka Kohorta</t>
        </is>
      </c>
    </row>
    <row r="32">
      <c r="A32" s="3" t="inlineStr">
        <is>
          <t>Abonament standard (PLN/mies.)</t>
        </is>
      </c>
      <c r="B32" s="9" t="n">
        <v>5000</v>
      </c>
    </row>
    <row r="33">
      <c r="A33" s="3" t="inlineStr">
        <is>
          <t>Oplata wdrozeniowa (standard)</t>
        </is>
      </c>
      <c r="B33" s="9" t="n">
        <v>6000</v>
      </c>
    </row>
    <row r="35">
      <c r="A35" s="5" t="inlineStr">
        <is>
          <t>Koszty stale (PLN/mies., bez wynagrodzen)</t>
        </is>
      </c>
      <c r="B35" s="6" t="n"/>
      <c r="C35" s="6" t="n"/>
      <c r="D35" s="6" t="n"/>
    </row>
    <row r="36">
      <c r="A36" s="3" t="inlineStr">
        <is>
          <t>Wlasny stack outboundowy</t>
        </is>
      </c>
      <c r="B36" s="9" t="n">
        <v>2000</v>
      </c>
    </row>
    <row r="37">
      <c r="A37" s="3" t="inlineStr">
        <is>
          <t>Infrastruktura bazowa</t>
        </is>
      </c>
      <c r="B37" s="9" t="n">
        <v>770</v>
      </c>
    </row>
    <row r="38">
      <c r="A38" s="3" t="inlineStr">
        <is>
          <t>Ksiegowosc</t>
        </is>
      </c>
      <c r="B38" s="9" t="n">
        <v>600</v>
      </c>
    </row>
    <row r="39">
      <c r="A39" s="3" t="inlineStr">
        <is>
          <t>Narzedzia zalozycieli</t>
        </is>
      </c>
      <c r="B39" s="9" t="n">
        <v>400</v>
      </c>
    </row>
    <row r="40">
      <c r="A40" s="3" t="inlineStr">
        <is>
          <t>Bank, domeny, pozostale</t>
        </is>
      </c>
      <c r="B40" s="9" t="n">
        <v>150</v>
      </c>
    </row>
    <row r="41">
      <c r="A41" s="10" t="inlineStr">
        <is>
          <t>Razem koszty stale</t>
        </is>
      </c>
      <c r="B41" s="11">
        <f>SUM(B36:B40)</f>
        <v/>
      </c>
    </row>
    <row r="42">
      <c r="A42" s="3" t="inlineStr">
        <is>
          <t>ZUS jedynego wspolnika (jesli dotyczy)</t>
        </is>
      </c>
      <c r="B42" s="8" t="n">
        <v>0</v>
      </c>
      <c r="D42" s="2" t="inlineStr">
        <is>
          <t>Wpisz 1900 jesli spolka jest jednoosobowa</t>
        </is>
      </c>
    </row>
    <row r="44">
      <c r="A44" s="5" t="inlineStr">
        <is>
          <t>Wynagrodzenia</t>
        </is>
      </c>
      <c r="B44" s="6" t="n"/>
      <c r="C44" s="6" t="n"/>
      <c r="D44" s="6" t="n"/>
    </row>
    <row r="45">
      <c r="A45" s="3" t="inlineStr">
        <is>
          <t>Pensja brutto jednego zalozyciela</t>
        </is>
      </c>
      <c r="B45" s="9" t="n">
        <v>10000</v>
      </c>
    </row>
    <row r="46">
      <c r="A46" s="3" t="inlineStr">
        <is>
          <t>Narzut pracodawcy</t>
        </is>
      </c>
      <c r="B46" s="12" t="n">
        <v>1.2048</v>
      </c>
      <c r="D46" s="2" t="inlineStr">
        <is>
          <t>ZUS po stronie pracodawcy ok. 20,5%</t>
        </is>
      </c>
    </row>
    <row r="47">
      <c r="A47" s="3" t="inlineStr">
        <is>
          <t>Koszt jednego zalozyciela</t>
        </is>
      </c>
      <c r="B47" s="11">
        <f>B45*B46</f>
        <v/>
      </c>
    </row>
    <row r="48">
      <c r="A48" s="3" t="inlineStr">
        <is>
          <t>Koszt obu zalozycieli</t>
        </is>
      </c>
      <c r="B48" s="11">
        <f>B47*2</f>
        <v/>
      </c>
    </row>
    <row r="50">
      <c r="A50" s="5" t="inlineStr">
        <is>
          <t>Akwizycja</t>
        </is>
      </c>
      <c r="B50" s="6" t="n"/>
      <c r="C50" s="6" t="n"/>
      <c r="D50" s="6" t="n"/>
    </row>
    <row r="51">
      <c r="A51" s="3" t="inlineStr">
        <is>
          <t>Spotkania miesiecznie</t>
        </is>
      </c>
      <c r="B51" s="9" t="n">
        <v>26</v>
      </c>
      <c r="D51" s="2" t="inlineStr">
        <is>
          <t>POMIAR - nasz wlasny outbound</t>
        </is>
      </c>
    </row>
    <row r="52">
      <c r="A52" s="3" t="inlineStr">
        <is>
          <t>Wydatek na narzedzia outbound</t>
        </is>
      </c>
      <c r="B52" s="9" t="n">
        <v>2000</v>
      </c>
      <c r="D52" s="2" t="inlineStr">
        <is>
          <t>POMIAR</t>
        </is>
      </c>
    </row>
    <row r="53">
      <c r="A53" s="3" t="inlineStr">
        <is>
          <t>Wycena czasu zalozyciela</t>
        </is>
      </c>
      <c r="B53" s="9" t="n">
        <v>2000</v>
      </c>
      <c r="D53" s="2" t="inlineStr">
        <is>
          <t>Zalozenie: 40 h po 50 PLN</t>
        </is>
      </c>
    </row>
    <row r="54">
      <c r="A54" s="3" t="inlineStr">
        <is>
          <t>Koszt jednego spotkania (tylko narzedzia)</t>
        </is>
      </c>
      <c r="B54" s="11">
        <f>B52/B51</f>
        <v/>
      </c>
    </row>
    <row r="55">
      <c r="A55" s="3" t="inlineStr">
        <is>
          <t>Koszt jednego spotkania (z czasem zalozyciela)</t>
        </is>
      </c>
      <c r="B55" s="11">
        <f>(B52+B53)/B51</f>
        <v/>
      </c>
    </row>
    <row r="57">
      <c r="A57" s="5" t="inlineStr">
        <is>
          <t>Plan 12 miesiecy</t>
        </is>
      </c>
      <c r="B57" s="6" t="n"/>
      <c r="C57" s="6" t="n"/>
      <c r="D57" s="6" t="n"/>
    </row>
    <row r="58">
      <c r="A58" s="3" t="inlineStr">
        <is>
          <t>Konwersja ze spotkania, mies. 1-3</t>
        </is>
      </c>
      <c r="B58" s="13" t="n">
        <v>0.06</v>
      </c>
      <c r="D58" s="2" t="inlineStr">
        <is>
          <t>ZALOZENIE, NIE POMIAR - najwazniejsza liczba w modelu</t>
        </is>
      </c>
    </row>
    <row r="59">
      <c r="A59" s="3" t="inlineStr">
        <is>
          <t>Konwersja, mies. 4-6</t>
        </is>
      </c>
      <c r="B59" s="13" t="n">
        <v>0.08</v>
      </c>
      <c r="D59" s="2" t="inlineStr">
        <is>
          <t>Zalozenie</t>
        </is>
      </c>
    </row>
    <row r="60">
      <c r="A60" s="3" t="inlineStr">
        <is>
          <t>Konwersja, mies. 7-9</t>
        </is>
      </c>
      <c r="B60" s="13" t="n">
        <v>0.1</v>
      </c>
      <c r="D60" s="2" t="inlineStr">
        <is>
          <t>Zalozenie</t>
        </is>
      </c>
    </row>
    <row r="61">
      <c r="A61" s="3" t="inlineStr">
        <is>
          <t>Konwersja, mies. 10-12</t>
        </is>
      </c>
      <c r="B61" s="13" t="n">
        <v>0.12</v>
      </c>
      <c r="D61" s="2" t="inlineStr">
        <is>
          <t>Zalozenie</t>
        </is>
      </c>
    </row>
    <row r="62">
      <c r="A62" s="3" t="inlineStr">
        <is>
          <t>Churn miesieczny</t>
        </is>
      </c>
      <c r="B62" s="13" t="n">
        <v>0.04</v>
      </c>
      <c r="D62" s="2" t="inlineStr">
        <is>
          <t>Zalozenie</t>
        </is>
      </c>
    </row>
    <row r="63">
      <c r="A63" s="3" t="inlineStr">
        <is>
          <t>Limit kohorty founding</t>
        </is>
      </c>
      <c r="B63" s="9" t="n">
        <v>4</v>
      </c>
      <c r="D63" s="2" t="inlineStr">
        <is>
          <t>Rekomendacja: 3 lub 4, nie 10</t>
        </is>
      </c>
    </row>
    <row r="64">
      <c r="A64" s="3" t="inlineStr">
        <is>
          <t>Koszt obslugi klienta, mies. 1-3</t>
        </is>
      </c>
      <c r="B64" s="9" t="n">
        <v>1350</v>
      </c>
    </row>
    <row r="65">
      <c r="A65" s="3" t="inlineStr">
        <is>
          <t>Koszt obslugi klienta, mies. 4-8</t>
        </is>
      </c>
      <c r="B65" s="9" t="n">
        <v>1200</v>
      </c>
    </row>
    <row r="66">
      <c r="A66" s="3" t="inlineStr">
        <is>
          <t>Koszt obslugi klienta, mies. 9-12</t>
        </is>
      </c>
      <c r="B66" s="9" t="n">
        <v>1100</v>
      </c>
    </row>
    <row r="67">
      <c r="A67" s="3" t="inlineStr">
        <is>
          <t>Pierwsza osoba do wdrozen od miesiaca</t>
        </is>
      </c>
      <c r="B67" s="9" t="n">
        <v>8</v>
      </c>
    </row>
    <row r="68">
      <c r="A68" s="3" t="inlineStr">
        <is>
          <t>Koszt tej osoby (PLN/mies.)</t>
        </is>
      </c>
      <c r="B68" s="9" t="n">
        <v>10000</v>
      </c>
    </row>
    <row r="69">
      <c r="A69" s="3" t="inlineStr">
        <is>
          <t>Zalozony churn do LTV</t>
        </is>
      </c>
      <c r="B69" s="13" t="n">
        <v>0.04</v>
      </c>
      <c r="D69" s="2" t="inlineStr">
        <is>
          <t>Zalozenie</t>
        </is>
      </c>
    </row>
    <row r="71">
      <c r="A71" s="5" t="inlineStr">
        <is>
          <t>Scenariusze wolumenu agenta na klienta (miesiecznie)</t>
        </is>
      </c>
      <c r="B71" s="6" t="n"/>
      <c r="C71" s="6" t="n"/>
      <c r="D71" s="6" t="n"/>
    </row>
    <row r="72">
      <c r="A72" s="10" t="inlineStr">
        <is>
          <t>Pozycja</t>
        </is>
      </c>
      <c r="B72" s="10" t="inlineStr">
        <is>
          <t>Niski</t>
        </is>
      </c>
      <c r="C72" s="10" t="inlineStr">
        <is>
          <t>Sredni</t>
        </is>
      </c>
      <c r="D72" s="10" t="inlineStr">
        <is>
          <t>Wysoki</t>
        </is>
      </c>
    </row>
    <row r="73">
      <c r="A73" s="3" t="inlineStr">
        <is>
          <t>Firmy przeskanowane</t>
        </is>
      </c>
      <c r="B73" s="8" t="n">
        <v>200</v>
      </c>
      <c r="C73" s="8" t="n">
        <v>1000</v>
      </c>
      <c r="D73" s="8" t="n">
        <v>2000</v>
      </c>
    </row>
    <row r="74">
      <c r="A74" s="3" t="inlineStr">
        <is>
          <t>Firmy wzbogacone</t>
        </is>
      </c>
      <c r="B74" s="8" t="n">
        <v>50</v>
      </c>
      <c r="C74" s="8" t="n">
        <v>250</v>
      </c>
      <c r="D74" s="8" t="n">
        <v>500</v>
      </c>
    </row>
    <row r="75">
      <c r="A75" s="3" t="inlineStr">
        <is>
          <t>Kontakty wzbogacone</t>
        </is>
      </c>
      <c r="B75" s="8" t="n">
        <v>100</v>
      </c>
      <c r="C75" s="8" t="n">
        <v>600</v>
      </c>
      <c r="D75" s="8" t="n">
        <v>1200</v>
      </c>
    </row>
    <row r="76">
      <c r="A76" s="3" t="inlineStr">
        <is>
          <t>Maile wyslane</t>
        </is>
      </c>
      <c r="B76" s="8" t="n">
        <v>600</v>
      </c>
      <c r="C76" s="8" t="n">
        <v>2400</v>
      </c>
      <c r="D76" s="8" t="n">
        <v>4800</v>
      </c>
    </row>
    <row r="77">
      <c r="A77" s="3" t="inlineStr">
        <is>
          <t>Akcje agenta CRM</t>
        </is>
      </c>
      <c r="B77" s="8" t="n">
        <v>400</v>
      </c>
      <c r="C77" s="8" t="n">
        <v>2000</v>
      </c>
      <c r="D77" s="8" t="n">
        <v>4000</v>
      </c>
    </row>
    <row r="78">
      <c r="A78" s="3" t="inlineStr">
        <is>
          <t>Dane na klienta (PLN)</t>
        </is>
      </c>
      <c r="B78" s="8" t="n">
        <v>80</v>
      </c>
      <c r="C78" s="8" t="n">
        <v>240</v>
      </c>
      <c r="D78" s="8" t="n">
        <v>400</v>
      </c>
    </row>
    <row r="79">
      <c r="D79" s="2" t="inlineStr">
        <is>
          <t>Scenariusze sa ZALOZENIEM. Zmierz je na czterech firmach testujacych i wpisz prawdziwe liczby.</t>
        </is>
      </c>
    </row>
    <row r="92">
      <c r="A92" s="5" t="inlineStr">
        <is>
          <t>Plan masowy: konwersja i przepustowosc</t>
        </is>
      </c>
      <c r="B92" s="6" t="n"/>
      <c r="C92" s="6" t="n"/>
      <c r="D92" s="6" t="n"/>
    </row>
    <row r="93">
      <c r="A93" s="3" t="inlineStr">
        <is>
          <t>Konwersja ze spotkania, mies. 1-3</t>
        </is>
      </c>
      <c r="B93" s="13" t="n">
        <v>0.1</v>
      </c>
      <c r="D93" s="2" t="inlineStr">
        <is>
          <t>ZALOZENIE. Nizsza cena powinna dac wyzsza konwersje niz 6% przy 5 000 PLN.</t>
        </is>
      </c>
    </row>
    <row r="94">
      <c r="A94" s="3" t="inlineStr">
        <is>
          <t>Konwersja, mies. 4-6</t>
        </is>
      </c>
      <c r="B94" s="13" t="n">
        <v>0.15</v>
      </c>
      <c r="D94" s="2" t="inlineStr">
        <is>
          <t>Zalozenie</t>
        </is>
      </c>
    </row>
    <row r="95">
      <c r="A95" s="3" t="inlineStr">
        <is>
          <t>Konwersja, mies. 7-9</t>
        </is>
      </c>
      <c r="B95" s="13" t="n">
        <v>0.18</v>
      </c>
      <c r="D95" s="2" t="inlineStr">
        <is>
          <t>Zalozenie</t>
        </is>
      </c>
    </row>
    <row r="96">
      <c r="A96" s="3" t="inlineStr">
        <is>
          <t>Konwersja, mies. 10-12</t>
        </is>
      </c>
      <c r="B96" s="13" t="n">
        <v>0.2</v>
      </c>
      <c r="D96" s="2" t="inlineStr">
        <is>
          <t>Zalozenie</t>
        </is>
      </c>
    </row>
    <row r="97">
      <c r="A97" s="3" t="inlineStr">
        <is>
          <t>Onboarding na klienta (h)</t>
        </is>
      </c>
      <c r="B97" s="33" t="n">
        <v>1</v>
      </c>
      <c r="D97" s="2" t="inlineStr">
        <is>
          <t>Model masowy. W modelu bespoke bylo 8 h.</t>
        </is>
      </c>
    </row>
    <row r="98">
      <c r="A98" s="3" t="inlineStr">
        <is>
          <t>Wsparcie na klienta (h/mies.)</t>
        </is>
      </c>
      <c r="B98" s="33" t="n">
        <v>1</v>
      </c>
      <c r="D98" s="2" t="inlineStr">
        <is>
          <t>Model masowy. W modelu bespoke bylo 3 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Koszt obslugi: gotowka a koszt pelny</t>
        </is>
      </c>
    </row>
    <row r="3">
      <c r="A3" s="5" t="inlineStr">
        <is>
          <t>Skladnik</t>
        </is>
      </c>
      <c r="B3" s="5" t="inlineStr">
        <is>
          <t>1 klient</t>
        </is>
      </c>
      <c r="C3" s="5" t="inlineStr">
        <is>
          <t>10 klientow</t>
        </is>
      </c>
      <c r="D3" s="5" t="inlineStr">
        <is>
          <t>50 klientow</t>
        </is>
      </c>
    </row>
    <row r="4">
      <c r="A4" s="3" t="inlineStr">
        <is>
          <t>Inferencja modelowa</t>
        </is>
      </c>
      <c r="B4" s="11">
        <f>('Zalozenia'!$B$6*'Zalozenia'!$B$13+'Zalozenia'!$B$7*'Zalozenia'!$B$14+'Zalozenia'!$B$8*'Zalozenia'!$B$15+'Zalozenia'!$B$9*'Zalozenia'!$B$16+'Zalozenia'!$B$10*'Zalozenia'!$B$17)*'Zalozenia'!$B$3</f>
        <v/>
      </c>
      <c r="C4" s="11">
        <f>('Zalozenia'!$B$6*'Zalozenia'!$B$13+'Zalozenia'!$B$7*'Zalozenia'!$B$14+'Zalozenia'!$B$8*'Zalozenia'!$B$15+'Zalozenia'!$B$9*'Zalozenia'!$B$16+'Zalozenia'!$B$10*'Zalozenia'!$B$17)*'Zalozenia'!$B$3</f>
        <v/>
      </c>
      <c r="D4" s="11">
        <f>('Zalozenia'!$B$6*'Zalozenia'!$B$13+'Zalozenia'!$B$7*'Zalozenia'!$B$14+'Zalozenia'!$B$8*'Zalozenia'!$B$15+'Zalozenia'!$B$9*'Zalozenia'!$B$16+'Zalozenia'!$B$10*'Zalozenia'!$B$17)*'Zalozenia'!$B$3</f>
        <v/>
      </c>
    </row>
    <row r="5">
      <c r="A5" s="3" t="inlineStr">
        <is>
          <t>Dane: Apollo, wyszukiwarka, weryfikacja</t>
        </is>
      </c>
      <c r="B5" s="14">
        <f>'Zalozenia'!$B$20</f>
        <v/>
      </c>
      <c r="C5" s="14">
        <f>'Zalozenia'!$B$21</f>
        <v/>
      </c>
      <c r="D5" s="14">
        <f>'Zalozenia'!$B$22</f>
        <v/>
      </c>
    </row>
    <row r="6">
      <c r="A6" s="3" t="inlineStr">
        <is>
          <t>Infrastruktura przypadajaca na klienta</t>
        </is>
      </c>
      <c r="B6" s="14">
        <f>'Zalozenia'!$B$23/1</f>
        <v/>
      </c>
      <c r="C6" s="14">
        <f>'Zalozenia'!$B$24/10</f>
        <v/>
      </c>
      <c r="D6" s="14">
        <f>'Zalozenia'!$B$25/50</f>
        <v/>
      </c>
    </row>
    <row r="7">
      <c r="A7" s="3" t="inlineStr">
        <is>
          <t>Wsparcie</t>
        </is>
      </c>
      <c r="B7" s="14">
        <f>'Zalozenia'!$B$26</f>
        <v/>
      </c>
      <c r="C7" s="14">
        <f>'Zalozenia'!$B$27</f>
        <v/>
      </c>
      <c r="D7" s="14">
        <f>'Zalozenia'!$B$28</f>
        <v/>
      </c>
    </row>
    <row r="8">
      <c r="A8" s="5" t="inlineStr">
        <is>
          <t>Razem</t>
        </is>
      </c>
      <c r="B8" s="15">
        <f>SUM(B4:B7)</f>
        <v/>
      </c>
      <c r="C8" s="15">
        <f>SUM(C4:C7)</f>
        <v/>
      </c>
      <c r="D8" s="15">
        <f>SUM(D4:D7)</f>
        <v/>
      </c>
    </row>
    <row r="10">
      <c r="A10" s="2" t="inlineStr">
        <is>
          <t>UWAGA: wiersz Razem to koszt PELNY, czyli z infrastruktura platformy podzielona przez liczbe klientow i z wycenionym czasem zalozycieli.</t>
        </is>
      </c>
    </row>
    <row r="11">
      <c r="A11" s="2" t="inlineStr">
        <is>
          <t>Gotowka wychodzaca to tylko inferencja plus dane. Przy jednym kliencie infrastruktura to cala platforma, a nie koszt tego klienta. Patrz zakladka Model cenowy.</t>
        </is>
      </c>
    </row>
    <row r="12">
      <c r="A12" s="10" t="inlineStr">
        <is>
          <t>Koszt krancowy gotowkowy na klienta (sredni wolumen)</t>
        </is>
      </c>
      <c r="B12" s="26">
        <f>B4+B5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Cennik: retainer z limitem stanowisk i pakietem wolumenu</t>
        </is>
      </c>
    </row>
    <row r="2">
      <c r="A2" s="2" t="inlineStr">
        <is>
          <t>Niebieskie komorki to dane wejsciowe. Pakiety wolumenu ustaw na podstawie pomiaru na czterech firmach testujacych.</t>
        </is>
      </c>
    </row>
    <row r="4">
      <c r="A4" s="5" t="inlineStr">
        <is>
          <t>Pozycja</t>
        </is>
      </c>
      <c r="B4" s="5" t="inlineStr">
        <is>
          <t>Start</t>
        </is>
      </c>
      <c r="C4" s="5" t="inlineStr">
        <is>
          <t>Standard</t>
        </is>
      </c>
      <c r="D4" s="5" t="inlineStr">
        <is>
          <t>Skala</t>
        </is>
      </c>
    </row>
    <row r="5">
      <c r="A5" s="3" t="inlineStr">
        <is>
          <t>Stanowiska w cenie</t>
        </is>
      </c>
      <c r="B5" s="9" t="n">
        <v>3</v>
      </c>
      <c r="C5" s="9" t="n">
        <v>10</v>
      </c>
      <c r="D5" s="9" t="n">
        <v>25</v>
      </c>
    </row>
    <row r="6">
      <c r="A6" s="3" t="inlineStr">
        <is>
          <t>Firmy przeskanowane / mies.</t>
        </is>
      </c>
      <c r="B6" s="8" t="n">
        <v>200</v>
      </c>
      <c r="C6" s="8" t="n">
        <v>800</v>
      </c>
      <c r="D6" s="8" t="n">
        <v>2400</v>
      </c>
    </row>
    <row r="7">
      <c r="A7" s="3" t="inlineStr">
        <is>
          <t>Firmy wzbogacone / mies.</t>
        </is>
      </c>
      <c r="B7" s="8" t="n">
        <v>50</v>
      </c>
      <c r="C7" s="8" t="n">
        <v>200</v>
      </c>
      <c r="D7" s="8" t="n">
        <v>600</v>
      </c>
    </row>
    <row r="8">
      <c r="A8" s="3" t="inlineStr">
        <is>
          <t>Kontakty wzbogacone / mies.</t>
        </is>
      </c>
      <c r="B8" s="8" t="n">
        <v>150</v>
      </c>
      <c r="C8" s="8" t="n">
        <v>500</v>
      </c>
      <c r="D8" s="8" t="n">
        <v>1500</v>
      </c>
    </row>
    <row r="9">
      <c r="A9" s="3" t="inlineStr">
        <is>
          <t>Maile / mies.</t>
        </is>
      </c>
      <c r="B9" s="8" t="n">
        <v>500</v>
      </c>
      <c r="C9" s="8" t="n">
        <v>2000</v>
      </c>
      <c r="D9" s="8" t="n">
        <v>6000</v>
      </c>
    </row>
    <row r="10">
      <c r="A10" s="3" t="inlineStr">
        <is>
          <t>Akcje agenta CRM / mies.</t>
        </is>
      </c>
      <c r="B10" s="8" t="n">
        <v>500</v>
      </c>
      <c r="C10" s="8" t="n">
        <v>2000</v>
      </c>
      <c r="D10" s="8" t="n">
        <v>5000</v>
      </c>
    </row>
    <row r="11">
      <c r="A11" s="3" t="inlineStr">
        <is>
          <t>Dane na klienta (PLN/mies.)</t>
        </is>
      </c>
      <c r="B11" s="8" t="n">
        <v>60</v>
      </c>
      <c r="C11" s="8" t="n">
        <v>180</v>
      </c>
      <c r="D11" s="8" t="n">
        <v>450</v>
      </c>
    </row>
    <row r="13">
      <c r="A13" s="5" t="inlineStr">
        <is>
          <t>Cena (PLN/mies.)</t>
        </is>
      </c>
      <c r="B13" s="34" t="n">
        <v>990</v>
      </c>
      <c r="C13" s="34" t="n">
        <v>2490</v>
      </c>
      <c r="D13" s="34" t="n">
        <v>5900</v>
      </c>
    </row>
    <row r="15">
      <c r="A15" s="3" t="inlineStr">
        <is>
          <t>Inferencja</t>
        </is>
      </c>
      <c r="B15" s="16">
        <f>('Zalozenia'!$B$6*B6+'Zalozenia'!$B$7*B7+'Zalozenia'!$B$8*B8+'Zalozenia'!$B$9*B9+'Zalozenia'!$B$10*B10)*'Zalozenia'!$B$3</f>
        <v/>
      </c>
      <c r="C15" s="16">
        <f>('Zalozenia'!$B$6*C6+'Zalozenia'!$B$7*C7+'Zalozenia'!$B$8*C8+'Zalozenia'!$B$9*C9+'Zalozenia'!$B$10*C10)*'Zalozenia'!$B$3</f>
        <v/>
      </c>
      <c r="D15" s="16">
        <f>('Zalozenia'!$B$6*D6+'Zalozenia'!$B$7*D7+'Zalozenia'!$B$8*D8+'Zalozenia'!$B$9*D9+'Zalozenia'!$B$10*D10)*'Zalozenia'!$B$3</f>
        <v/>
      </c>
    </row>
    <row r="16">
      <c r="A16" s="3" t="inlineStr">
        <is>
          <t>Dane</t>
        </is>
      </c>
      <c r="B16" s="16">
        <f>B11</f>
        <v/>
      </c>
      <c r="C16" s="16">
        <f>C11</f>
        <v/>
      </c>
      <c r="D16" s="16">
        <f>D11</f>
        <v/>
      </c>
    </row>
    <row r="17">
      <c r="A17" s="10" t="inlineStr">
        <is>
          <t>Koszt krancowy gotowkowy</t>
        </is>
      </c>
      <c r="B17" s="26">
        <f>B15+B16</f>
        <v/>
      </c>
      <c r="C17" s="26">
        <f>C15+C16</f>
        <v/>
      </c>
      <c r="D17" s="26">
        <f>D15+D16</f>
        <v/>
      </c>
    </row>
    <row r="18">
      <c r="A18" s="10" t="inlineStr">
        <is>
          <t>Zysk brutto</t>
        </is>
      </c>
      <c r="B18" s="26">
        <f>B13-B17</f>
        <v/>
      </c>
      <c r="C18" s="26">
        <f>C13-C17</f>
        <v/>
      </c>
      <c r="D18" s="26">
        <f>D13-D17</f>
        <v/>
      </c>
    </row>
    <row r="19">
      <c r="A19" s="5" t="inlineStr">
        <is>
          <t>Marza brutto</t>
        </is>
      </c>
      <c r="B19" s="30">
        <f>B18/B13</f>
        <v/>
      </c>
      <c r="C19" s="30">
        <f>C18/C13</f>
        <v/>
      </c>
      <c r="D19" s="30">
        <f>D18/D13</f>
        <v/>
      </c>
    </row>
    <row r="21">
      <c r="A21" s="1" t="inlineStr">
        <is>
          <t>Mieszanka klientow</t>
        </is>
      </c>
    </row>
    <row r="22">
      <c r="A22" s="5" t="inlineStr">
        <is>
          <t>Plan</t>
        </is>
      </c>
      <c r="B22" s="5" t="inlineStr">
        <is>
          <t>Udzial</t>
        </is>
      </c>
      <c r="C22" s="5" t="inlineStr">
        <is>
          <t>Cena</t>
        </is>
      </c>
      <c r="D22" s="5" t="inlineStr">
        <is>
          <t>Koszt</t>
        </is>
      </c>
    </row>
    <row r="23">
      <c r="A23" s="3" t="inlineStr">
        <is>
          <t>Start</t>
        </is>
      </c>
      <c r="B23" s="13" t="n">
        <v>0.2</v>
      </c>
      <c r="C23" s="16">
        <f>B13</f>
        <v/>
      </c>
      <c r="D23" s="16">
        <f>B17</f>
        <v/>
      </c>
    </row>
    <row r="24">
      <c r="A24" s="3" t="inlineStr">
        <is>
          <t>Standard</t>
        </is>
      </c>
      <c r="B24" s="13" t="n">
        <v>0.65</v>
      </c>
      <c r="C24" s="16">
        <f>C13</f>
        <v/>
      </c>
      <c r="D24" s="16">
        <f>C17</f>
        <v/>
      </c>
    </row>
    <row r="25">
      <c r="A25" s="3" t="inlineStr">
        <is>
          <t>Skala</t>
        </is>
      </c>
      <c r="B25" s="13" t="n">
        <v>0.15</v>
      </c>
      <c r="C25" s="16">
        <f>D13</f>
        <v/>
      </c>
      <c r="D25" s="16">
        <f>D17</f>
        <v/>
      </c>
    </row>
    <row r="26">
      <c r="A26" s="10" t="inlineStr">
        <is>
          <t>Srednia wazona cena</t>
        </is>
      </c>
      <c r="B26" s="26">
        <f>SUMPRODUCT(B23:B25,C23:C25)</f>
        <v/>
      </c>
    </row>
    <row r="27">
      <c r="A27" s="10" t="inlineStr">
        <is>
          <t>Sredni wazony koszt</t>
        </is>
      </c>
      <c r="B27" s="26">
        <f>SUMPRODUCT(B23:B25,D23:D25)</f>
        <v/>
      </c>
    </row>
    <row r="28">
      <c r="A28" s="10" t="inlineStr">
        <is>
          <t>Sredni zysk brutto</t>
        </is>
      </c>
      <c r="B28" s="26">
        <f>B26-B27</f>
        <v/>
      </c>
    </row>
    <row r="29">
      <c r="A29" t="inlineStr">
        <is>
          <t>Srednia marza</t>
        </is>
      </c>
      <c r="B29" s="31">
        <f>B28/B26</f>
        <v/>
      </c>
    </row>
    <row r="31">
      <c r="A31" s="2" t="inlineStr">
        <is>
          <t>Bez oplaty wdrozeniowej. Caly przychod jest powtarzalny.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Marza brutto</t>
        </is>
      </c>
    </row>
    <row r="3">
      <c r="A3" s="5" t="inlineStr">
        <is>
          <t>Cena</t>
        </is>
      </c>
      <c r="B3" s="5" t="inlineStr">
        <is>
          <t>1 klient</t>
        </is>
      </c>
      <c r="C3" s="5" t="inlineStr">
        <is>
          <t>10 klientow</t>
        </is>
      </c>
      <c r="D3" s="5" t="inlineStr">
        <is>
          <t>50 klientow</t>
        </is>
      </c>
    </row>
    <row r="4">
      <c r="A4" t="inlineStr">
        <is>
          <t>Zysk brutto przy cenie founding</t>
        </is>
      </c>
      <c r="B4" s="16">
        <f>'Zalozenia'!$B$31-'Koszt obslugi'!B8</f>
        <v/>
      </c>
      <c r="C4" s="16">
        <f>'Zalozenia'!$B$31-'Koszt obslugi'!C8</f>
        <v/>
      </c>
      <c r="D4" s="16">
        <f>'Zalozenia'!$B$31-'Koszt obslugi'!D8</f>
        <v/>
      </c>
    </row>
    <row r="5">
      <c r="A5" t="inlineStr">
        <is>
          <t>Marza przy cenie founding</t>
        </is>
      </c>
      <c r="B5" s="17">
        <f>('Zalozenia'!$B$31-'Koszt obslugi'!B8)/'Zalozenia'!$B$31</f>
        <v/>
      </c>
      <c r="C5" s="17">
        <f>('Zalozenia'!$B$31-'Koszt obslugi'!C8)/'Zalozenia'!$B$31</f>
        <v/>
      </c>
      <c r="D5" s="17">
        <f>('Zalozenia'!$B$31-'Koszt obslugi'!D8)/'Zalozenia'!$B$31</f>
        <v/>
      </c>
    </row>
    <row r="6">
      <c r="A6" t="inlineStr">
        <is>
          <t>Zysk brutto przy cenie standard</t>
        </is>
      </c>
      <c r="B6" s="16">
        <f>'Zalozenia'!$B$32-'Koszt obslugi'!B8</f>
        <v/>
      </c>
      <c r="C6" s="16">
        <f>'Zalozenia'!$B$32-'Koszt obslugi'!C8</f>
        <v/>
      </c>
      <c r="D6" s="16">
        <f>'Zalozenia'!$B$32-'Koszt obslugi'!D8</f>
        <v/>
      </c>
    </row>
    <row r="7">
      <c r="A7" t="inlineStr">
        <is>
          <t>Marza przy cenie standard</t>
        </is>
      </c>
      <c r="B7" s="17">
        <f>('Zalozenia'!$B$32-'Koszt obslugi'!B8)/'Zalozenia'!$B$32</f>
        <v/>
      </c>
      <c r="C7" s="17">
        <f>('Zalozenia'!$B$32-'Koszt obslugi'!C8)/'Zalozenia'!$B$32</f>
        <v/>
      </c>
      <c r="D7" s="17">
        <f>('Zalozenia'!$B$32-'Koszt obslugi'!D8)/'Zalozenia'!$B$32</f>
        <v/>
      </c>
    </row>
    <row r="9">
      <c r="A9" s="1" t="inlineStr">
        <is>
          <t>Koszt pozyskania klienta (CAC)</t>
        </is>
      </c>
    </row>
    <row r="11">
      <c r="A11" s="5" t="inlineStr">
        <is>
          <t>Konwersja ze spotkania</t>
        </is>
      </c>
      <c r="B11" s="5" t="inlineStr">
        <is>
          <t>Zamkniec/mies.</t>
        </is>
      </c>
      <c r="C11" s="5" t="inlineStr">
        <is>
          <t>CAC tylko narzedzia</t>
        </is>
      </c>
      <c r="D11" s="5" t="inlineStr">
        <is>
          <t>CAC z czasem zalozyciela</t>
        </is>
      </c>
    </row>
    <row r="12">
      <c r="A12" s="18" t="n">
        <v>0.05</v>
      </c>
      <c r="B12" s="19">
        <f>'Zalozenia'!$B$51*A12</f>
        <v/>
      </c>
      <c r="C12" s="16">
        <f>'Zalozenia'!$B$52/B12</f>
        <v/>
      </c>
      <c r="D12" s="16">
        <f>('Zalozenia'!$B$52+'Zalozenia'!$B$53)/B12</f>
        <v/>
      </c>
    </row>
    <row r="13">
      <c r="A13" s="18" t="n">
        <v>0.08</v>
      </c>
      <c r="B13" s="19">
        <f>'Zalozenia'!$B$51*A13</f>
        <v/>
      </c>
      <c r="C13" s="16">
        <f>'Zalozenia'!$B$52/B13</f>
        <v/>
      </c>
      <c r="D13" s="16">
        <f>('Zalozenia'!$B$52+'Zalozenia'!$B$53)/B13</f>
        <v/>
      </c>
    </row>
    <row r="14">
      <c r="A14" s="18" t="n">
        <v>0.1</v>
      </c>
      <c r="B14" s="19">
        <f>'Zalozenia'!$B$51*A14</f>
        <v/>
      </c>
      <c r="C14" s="16">
        <f>'Zalozenia'!$B$52/B14</f>
        <v/>
      </c>
      <c r="D14" s="16">
        <f>('Zalozenia'!$B$52+'Zalozenia'!$B$53)/B14</f>
        <v/>
      </c>
    </row>
    <row r="15">
      <c r="A15" s="18" t="n">
        <v>0.15</v>
      </c>
      <c r="B15" s="19">
        <f>'Zalozenia'!$B$51*A15</f>
        <v/>
      </c>
      <c r="C15" s="16">
        <f>'Zalozenia'!$B$52/B15</f>
        <v/>
      </c>
      <c r="D15" s="16">
        <f>('Zalozenia'!$B$52+'Zalozenia'!$B$53)/B15</f>
        <v/>
      </c>
    </row>
    <row r="17">
      <c r="A17" s="2" t="inlineStr">
        <is>
          <t>Konwersja ze spotkania jest ZALOZENIEM. 26 spotkan sprzedawalo usluge, nie ValenOS w cenie 5 000 PLN.</t>
        </is>
      </c>
    </row>
    <row r="19">
      <c r="A19" s="1" t="inlineStr">
        <is>
          <t>LTV i zwrot (klient standard)</t>
        </is>
      </c>
    </row>
    <row r="21">
      <c r="A21" s="5" t="inlineStr">
        <is>
          <t>Pozycja</t>
        </is>
      </c>
      <c r="B21" s="5" t="inlineStr">
        <is>
          <t>Wartosc</t>
        </is>
      </c>
    </row>
    <row r="22">
      <c r="A22" s="3" t="inlineStr">
        <is>
          <t>Zysk brutto miesiecznie (10 klientow)</t>
        </is>
      </c>
      <c r="B22" s="11">
        <f>C6</f>
        <v/>
      </c>
    </row>
    <row r="23">
      <c r="A23" s="3" t="inlineStr">
        <is>
          <t>Churn miesieczny</t>
        </is>
      </c>
      <c r="B23" s="20">
        <f>'Zalozenia'!$B$69</f>
        <v/>
      </c>
    </row>
    <row r="24">
      <c r="A24" s="3" t="inlineStr">
        <is>
          <t>Srednia dlugosc zycia klienta (mies.)</t>
        </is>
      </c>
      <c r="B24" s="21">
        <f>1/B23</f>
        <v/>
      </c>
    </row>
    <row r="25">
      <c r="A25" s="3" t="inlineStr">
        <is>
          <t>Zysk z oplaty wdrozeniowej</t>
        </is>
      </c>
      <c r="B25" s="11">
        <f>'Zalozenia'!$B$33-1200</f>
        <v/>
      </c>
    </row>
    <row r="26">
      <c r="A26" s="3" t="inlineStr">
        <is>
          <t>LTV</t>
        </is>
      </c>
      <c r="B26" s="11">
        <f>B22*B24+B25</f>
        <v/>
      </c>
    </row>
    <row r="27">
      <c r="A27" s="3" t="inlineStr">
        <is>
          <t>CAC (konwersja 8%, z czasem zalozyciela)</t>
        </is>
      </c>
      <c r="B27" s="11">
        <f>D13</f>
        <v/>
      </c>
    </row>
    <row r="28">
      <c r="A28" s="3" t="inlineStr">
        <is>
          <t>LTV / CAC</t>
        </is>
      </c>
      <c r="B28" s="22">
        <f>B26/B27</f>
        <v/>
      </c>
    </row>
    <row r="29">
      <c r="A29" s="3" t="inlineStr">
        <is>
          <t>Zwrot CAC z samej oplaty wdrozeniowej (mies.)</t>
        </is>
      </c>
      <c r="B29" s="23">
        <f>B27/(B22+B25)</f>
        <v/>
      </c>
    </row>
    <row r="31">
      <c r="A31" s="2" t="inlineStr">
        <is>
          <t>Nie podawaj LTV/CAC inwestorowi. Obie dane wejsciowe sa niezmierzone, a iloraz eksploduje. Mocniejsze zdanie: oplata wdrozeniowa pokrywa CAC w pierwszym tygodniu.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Prog rentownosci</t>
        </is>
      </c>
    </row>
    <row r="3">
      <c r="A3" s="10" t="inlineStr">
        <is>
          <t>Koszty stale miesiecznie (z ZUS jedynego wspolnika)</t>
        </is>
      </c>
      <c r="B3" s="11">
        <f>'Zalozenia'!$B$41+'Zalozenia'!$B$42</f>
        <v/>
      </c>
    </row>
    <row r="5">
      <c r="A5" s="5" t="inlineStr">
        <is>
          <t>Scenariusz</t>
        </is>
      </c>
      <c r="B5" s="5" t="inlineStr">
        <is>
          <t>Koszt do pokrycia</t>
        </is>
      </c>
      <c r="C5" s="5" t="inlineStr">
        <is>
          <t>Zysk brutto na kliencie</t>
        </is>
      </c>
      <c r="D5" s="5" t="inlineStr">
        <is>
          <t>Potrzebni klienci</t>
        </is>
      </c>
    </row>
    <row r="6">
      <c r="A6" s="3" t="inlineStr">
        <is>
          <t>Bez wynagrodzen</t>
        </is>
      </c>
      <c r="B6" s="16">
        <f>B3</f>
        <v/>
      </c>
      <c r="C6" s="16">
        <f>Cennik!$B$28</f>
        <v/>
      </c>
      <c r="D6" s="10">
        <f>ROUNDUP(B6/C6,0)</f>
        <v/>
      </c>
    </row>
    <row r="7">
      <c r="A7" s="3" t="inlineStr">
        <is>
          <t>Pensja dla Bruna</t>
        </is>
      </c>
      <c r="B7" s="16">
        <f>B3+'Zalozenia'!$B$47</f>
        <v/>
      </c>
      <c r="C7" s="16">
        <f>Cennik!$B$28</f>
        <v/>
      </c>
      <c r="D7" s="10">
        <f>ROUNDUP(B7/C7,0)</f>
        <v/>
      </c>
    </row>
    <row r="8">
      <c r="A8" s="3" t="inlineStr">
        <is>
          <t>Pensje dla obu zalozycieli</t>
        </is>
      </c>
      <c r="B8" s="16">
        <f>B3+'Zalozenia'!$B$48</f>
        <v/>
      </c>
      <c r="C8" s="16">
        <f>Cennik!$B$28</f>
        <v/>
      </c>
      <c r="D8" s="10">
        <f>ROUNDUP(B8/C8,0)</f>
        <v/>
      </c>
    </row>
    <row r="9">
      <c r="A9" s="3" t="n"/>
      <c r="B9" s="16" t="n"/>
      <c r="C9" s="16" t="n"/>
      <c r="D9" s="10" t="n"/>
    </row>
    <row r="11">
      <c r="A11" s="10" t="inlineStr">
        <is>
          <t>Sufit przepustowosci, model masowy</t>
        </is>
      </c>
      <c r="B11" s="16" t="n"/>
    </row>
    <row r="12">
      <c r="A12" t="inlineStr">
        <is>
          <t>Godziny Mario przy 50 klientach</t>
        </is>
      </c>
      <c r="B12" s="35">
        <f>40+'Zalozenia'!$B$51*1.5+5*'Zalozenia'!$B$97+50*'Zalozenia'!$B$98</f>
        <v/>
      </c>
    </row>
    <row r="13">
      <c r="A13" t="inlineStr">
        <is>
          <t>Godziny Mario przy 100 klientach</t>
        </is>
      </c>
      <c r="B13" s="36">
        <f>40+'Zalozenia'!$B$51*1.5+5*'Zalozenia'!$B$97+100*'Zalozenia'!$B$98</f>
        <v/>
      </c>
    </row>
    <row r="14">
      <c r="A14" s="2" t="inlineStr">
        <is>
          <t>W modelu bespoke sufit wypadal okolo 20 klientow.</t>
        </is>
      </c>
      <c r="B14" s="10" t="n"/>
    </row>
    <row r="16">
      <c r="A16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Koszt kohorty founding members</t>
        </is>
      </c>
    </row>
    <row r="3">
      <c r="A3" t="inlineStr">
        <is>
          <t>Utracony abonament miesiecznie na osobe</t>
        </is>
      </c>
      <c r="B3" s="16">
        <f>'Zalozenia'!$B$32-'Zalozenia'!$B$31</f>
        <v/>
      </c>
    </row>
    <row r="4">
      <c r="A4" t="inlineStr">
        <is>
          <t>Utracona oplata wdrozeniowa na osobe</t>
        </is>
      </c>
      <c r="B4" s="16">
        <f>'Zalozenia'!$B$33</f>
        <v/>
      </c>
    </row>
    <row r="5">
      <c r="A5" s="10" t="inlineStr">
        <is>
          <t>Koszt jednej osoby przez 3 lata</t>
        </is>
      </c>
      <c r="B5" s="26">
        <f>B3*36+B4</f>
        <v/>
      </c>
    </row>
    <row r="7">
      <c r="A7" s="5" t="inlineStr">
        <is>
          <t>Wielkosc kohorty</t>
        </is>
      </c>
      <c r="B7" s="5" t="inlineStr">
        <is>
          <t>Miesiecznie</t>
        </is>
      </c>
      <c r="C7" s="5" t="inlineStr">
        <is>
          <t>Rocznie</t>
        </is>
      </c>
      <c r="D7" s="5" t="inlineStr">
        <is>
          <t>Przez 3 lata</t>
        </is>
      </c>
    </row>
    <row r="8">
      <c r="A8" s="27" t="n">
        <v>3</v>
      </c>
      <c r="B8" s="16">
        <f>A8*$B$3</f>
        <v/>
      </c>
      <c r="C8" s="16">
        <f>A8*$B$3*12</f>
        <v/>
      </c>
      <c r="D8" s="16">
        <f>A8*$B$5</f>
        <v/>
      </c>
    </row>
    <row r="9">
      <c r="A9" s="27" t="n">
        <v>4</v>
      </c>
      <c r="B9" s="16">
        <f>A9*$B$3</f>
        <v/>
      </c>
      <c r="C9" s="16">
        <f>A9*$B$3*12</f>
        <v/>
      </c>
      <c r="D9" s="16">
        <f>A9*$B$5</f>
        <v/>
      </c>
    </row>
    <row r="10">
      <c r="A10" s="27" t="n">
        <v>6</v>
      </c>
      <c r="B10" s="16">
        <f>A10*$B$3</f>
        <v/>
      </c>
      <c r="C10" s="16">
        <f>A10*$B$3*12</f>
        <v/>
      </c>
      <c r="D10" s="16">
        <f>A10*$B$5</f>
        <v/>
      </c>
    </row>
    <row r="11">
      <c r="A11" s="27" t="n">
        <v>10</v>
      </c>
      <c r="B11" s="16">
        <f>A11*$B$3</f>
        <v/>
      </c>
      <c r="C11" s="16">
        <f>A11*$B$3*12</f>
        <v/>
      </c>
      <c r="D11" s="16">
        <f>A11*$B$5</f>
        <v/>
      </c>
    </row>
    <row r="13">
      <c r="A13" s="10" t="inlineStr">
        <is>
          <t>Argument inwestycyjny: runda kupuje prawo do nierozdawania rabatow</t>
        </is>
      </c>
    </row>
    <row r="14">
      <c r="A14" t="inlineStr">
        <is>
          <t>Kohorta bez rundy (zalozenie)</t>
        </is>
      </c>
      <c r="B14" s="28" t="n">
        <v>6</v>
      </c>
    </row>
    <row r="15">
      <c r="A15" t="inlineStr">
        <is>
          <t>Kohorta z runda (decyzja)</t>
        </is>
      </c>
      <c r="B15" s="28" t="n">
        <v>3</v>
      </c>
    </row>
    <row r="16">
      <c r="A16" t="inlineStr">
        <is>
          <t>Osob bez rabatu</t>
        </is>
      </c>
      <c r="B16">
        <f>B14-B15</f>
        <v/>
      </c>
    </row>
    <row r="17">
      <c r="A17" s="10" t="inlineStr">
        <is>
          <t>Zachowany przychod przez 3 lata</t>
        </is>
      </c>
      <c r="B17" s="26">
        <f>B16*B5</f>
        <v/>
      </c>
    </row>
    <row r="18">
      <c r="A18" t="inlineStr">
        <is>
          <t>Jako wielokrotnosc rundy</t>
        </is>
      </c>
      <c r="B18" s="29">
        <f>B17/'Wykorzystanie srodkow'!B12</f>
        <v/>
      </c>
    </row>
    <row r="20">
      <c r="A20" s="2" t="inlineStr">
        <is>
          <t>Rekomendacja: zamknij kohorte na 3 lub 4 i ogranicz "na stale" do zakresu z dnia startu. Przy 10 osobach 3 000 PLN staje sie cena rynkowa, a nie rabatem.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54" customWidth="1" min="1" max="1"/>
    <col width="14" customWidth="1" min="2" max="2"/>
    <col width="14" customWidth="1" min="3" max="3"/>
    <col width="14" customWidth="1" min="4" max="4"/>
  </cols>
  <sheetData>
    <row r="1">
      <c r="A1" s="37" t="inlineStr">
        <is>
          <t>Wykorzystanie srodkow z rundy (liczby od Mario)</t>
        </is>
      </c>
      <c r="B1" s="38" t="n"/>
      <c r="C1" s="38" t="n"/>
      <c r="D1" s="38" t="n"/>
      <c r="E1" s="38" t="n"/>
    </row>
    <row r="2">
      <c r="A2" s="39" t="inlineStr">
        <is>
          <t>Okres: szesc miesiecy. Zalozyciele nie pobieraja wynagrodzenia z rundy.</t>
        </is>
      </c>
      <c r="B2" s="38" t="n"/>
      <c r="C2" s="38" t="n"/>
      <c r="D2" s="38" t="n"/>
      <c r="E2" s="38" t="n"/>
    </row>
    <row r="3">
      <c r="A3" s="40" t="n"/>
      <c r="B3" s="40" t="n"/>
      <c r="C3" s="40" t="n"/>
      <c r="D3" s="40" t="n"/>
      <c r="E3" s="38" t="n"/>
    </row>
    <row r="4">
      <c r="A4" s="41" t="inlineStr">
        <is>
          <t>Claude Max 20x: liczba subskrypcji</t>
        </is>
      </c>
      <c r="B4" s="42" t="n">
        <v>4</v>
      </c>
      <c r="C4" s="43" t="n"/>
      <c r="D4" s="41" t="n"/>
      <c r="E4" s="38" t="n"/>
    </row>
    <row r="5">
      <c r="A5" s="41" t="inlineStr">
        <is>
          <t>Claude Max 20x: cena miesieczna (USD)</t>
        </is>
      </c>
      <c r="B5" s="42" t="n">
        <v>200</v>
      </c>
      <c r="C5" s="43" t="n"/>
      <c r="D5" s="41" t="n"/>
      <c r="E5" s="38" t="n"/>
    </row>
    <row r="6">
      <c r="A6" s="41" t="inlineStr">
        <is>
          <t>Okres (miesiecy)</t>
        </is>
      </c>
      <c r="B6" s="42" t="n">
        <v>6</v>
      </c>
      <c r="C6" s="43" t="n"/>
      <c r="D6" s="41" t="n"/>
      <c r="E6" s="38" t="n"/>
    </row>
    <row r="7">
      <c r="A7" s="41" t="n"/>
      <c r="B7" s="44" t="n"/>
      <c r="C7" s="43" t="n"/>
      <c r="D7" s="41" t="n"/>
      <c r="E7" s="38" t="n"/>
    </row>
    <row r="8">
      <c r="A8" s="5" t="inlineStr">
        <is>
          <t>Pozycja</t>
        </is>
      </c>
      <c r="B8" s="15" t="inlineStr">
        <is>
          <t>Kwota</t>
        </is>
      </c>
      <c r="C8" s="30" t="inlineStr">
        <is>
          <t>Udzial</t>
        </is>
      </c>
      <c r="D8" s="5" t="inlineStr">
        <is>
          <t>Budowa?</t>
        </is>
      </c>
      <c r="E8" s="38" t="n"/>
    </row>
    <row r="9">
      <c r="A9" s="41" t="inlineStr">
        <is>
          <t>Claude Max 20x, cztery subskrypcje, szesc miesiecy</t>
        </is>
      </c>
      <c r="B9" s="45">
        <f>B4*B5*B6*'Zalozenia'!$B$3</f>
        <v/>
      </c>
      <c r="C9" s="43">
        <f>B9/$B$15</f>
        <v/>
      </c>
      <c r="D9" s="41" t="inlineStr">
        <is>
          <t>tak</t>
        </is>
      </c>
      <c r="E9" s="38" t="n"/>
    </row>
    <row r="10">
      <c r="A10" s="41" t="inlineStr">
        <is>
          <t>Narzedzia i API: Apollo, wyszukiwarka, wysylka, hosting</t>
        </is>
      </c>
      <c r="B10" s="42" t="n">
        <v>15000</v>
      </c>
      <c r="C10" s="43">
        <f>B10/$B$15</f>
        <v/>
      </c>
      <c r="D10" s="41" t="inlineStr">
        <is>
          <t>tak</t>
        </is>
      </c>
      <c r="E10" s="38" t="n"/>
    </row>
    <row r="11">
      <c r="A11" s="41" t="inlineStr">
        <is>
          <t>Marketing</t>
        </is>
      </c>
      <c r="B11" s="42" t="n">
        <v>10000</v>
      </c>
      <c r="C11" s="43">
        <f>B11/$B$15</f>
        <v/>
      </c>
      <c r="D11" s="41" t="inlineStr">
        <is>
          <t>nie</t>
        </is>
      </c>
      <c r="E11" s="38" t="n"/>
    </row>
    <row r="12">
      <c r="A12" s="41" t="inlineStr">
        <is>
          <t>Ksiegowosc i operacje</t>
        </is>
      </c>
      <c r="B12" s="42" t="n">
        <v>5000</v>
      </c>
      <c r="C12" s="46">
        <f>B12/$B$15</f>
        <v/>
      </c>
      <c r="D12" s="41" t="inlineStr">
        <is>
          <t>nie</t>
        </is>
      </c>
      <c r="E12" s="38" t="n"/>
    </row>
    <row r="13">
      <c r="A13" s="38" t="inlineStr">
        <is>
          <t>Rezerwa</t>
        </is>
      </c>
      <c r="B13" s="45">
        <f>50000-SUM(B9:B12)</f>
        <v/>
      </c>
      <c r="C13" s="43">
        <f>B13/$B$15</f>
        <v/>
      </c>
      <c r="D13" s="38" t="inlineStr">
        <is>
          <t>nie</t>
        </is>
      </c>
      <c r="E13" s="38" t="n"/>
    </row>
    <row r="14">
      <c r="A14" s="40" t="n"/>
      <c r="B14" s="47" t="n"/>
      <c r="C14" s="46" t="n"/>
      <c r="D14" s="38" t="n"/>
      <c r="E14" s="38" t="n"/>
    </row>
    <row r="15">
      <c r="A15" s="5" t="inlineStr">
        <is>
          <t>Razem</t>
        </is>
      </c>
      <c r="B15" s="15">
        <f>SUM(B9:B13)</f>
        <v/>
      </c>
      <c r="C15" s="30">
        <f>SUM(C9:C13)</f>
        <v/>
      </c>
      <c r="D15" s="6" t="n"/>
      <c r="E15" s="38" t="n"/>
    </row>
    <row r="16">
      <c r="A16" s="38" t="n"/>
      <c r="B16" s="48" t="n"/>
      <c r="C16" s="38" t="n"/>
      <c r="D16" s="38" t="n"/>
      <c r="E16" s="38" t="n"/>
    </row>
    <row r="17">
      <c r="A17" s="40" t="inlineStr">
        <is>
          <t>Udzial na budowe produktu</t>
        </is>
      </c>
      <c r="B17" s="47">
        <f>SUMIF(D9:D13,"tak",B9:B13)</f>
        <v/>
      </c>
      <c r="C17" s="46">
        <f>B17/B15</f>
        <v/>
      </c>
      <c r="D17" s="38" t="n"/>
      <c r="E17" s="38" t="n"/>
    </row>
    <row r="18">
      <c r="A18" s="39" t="n"/>
      <c r="B18" s="38" t="n"/>
      <c r="C18" s="38" t="n"/>
      <c r="D18" s="38" t="n"/>
      <c r="E18" s="38" t="n"/>
    </row>
    <row r="19">
      <c r="A19" s="39" t="inlineStr">
        <is>
          <t>Subskrypcje Claude Max pokrywaja prace zespolu nad produktem. Inferencja agentow u klientow to osobny koszt rozliczany per token, ktory jest kosztem przychodu i pokrywa go przychod, a nie runda.</t>
        </is>
      </c>
      <c r="B19" s="38" t="n"/>
      <c r="C19" s="38" t="n"/>
      <c r="D19" s="38" t="n"/>
      <c r="E19" s="38" t="n"/>
    </row>
    <row r="20">
      <c r="A20" s="38" t="n"/>
      <c r="B20" s="38" t="n"/>
      <c r="C20" s="38" t="n"/>
      <c r="D20" s="38" t="n"/>
      <c r="E20" s="38" t="n"/>
    </row>
    <row r="21">
      <c r="A21" s="38" t="n"/>
      <c r="B21" s="38" t="n"/>
      <c r="C21" s="38" t="n"/>
      <c r="D21" s="38" t="n"/>
      <c r="E21" s="38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Model cenowy: co naprawde kosztuje obsluga klienta</t>
        </is>
      </c>
    </row>
    <row r="2">
      <c r="A2" s="2" t="inlineStr">
        <is>
          <t>Tylko gotowka wychodzaca. Infrastruktura platformy i czas zalozycieli NIE sa kosztem na klienta.</t>
        </is>
      </c>
    </row>
    <row r="4">
      <c r="A4" s="5" t="inlineStr">
        <is>
          <t>Skladnik</t>
        </is>
      </c>
      <c r="B4" s="5" t="inlineStr">
        <is>
          <t>Niski wolumen</t>
        </is>
      </c>
      <c r="C4" s="5" t="inlineStr">
        <is>
          <t>Sredni wolumen</t>
        </is>
      </c>
      <c r="D4" s="5" t="inlineStr">
        <is>
          <t>Wysoki wolumen</t>
        </is>
      </c>
    </row>
    <row r="5">
      <c r="A5" t="inlineStr">
        <is>
          <t>Inferencja modelowa</t>
        </is>
      </c>
      <c r="B5" s="16">
        <f>('Zalozenia'!$B$6*'Zalozenia'!$B$73+'Zalozenia'!$B$7*'Zalozenia'!$B$74+'Zalozenia'!$B$8*'Zalozenia'!$B$75+'Zalozenia'!$B$9*'Zalozenia'!$B$76+'Zalozenia'!$B$10*'Zalozenia'!$B$77)*'Zalozenia'!$B$3</f>
        <v/>
      </c>
      <c r="C5" s="16">
        <f>('Zalozenia'!$B$6*'Zalozenia'!$C$73+'Zalozenia'!$B$7*'Zalozenia'!$C$74+'Zalozenia'!$B$8*'Zalozenia'!$C$75+'Zalozenia'!$B$9*'Zalozenia'!$C$76+'Zalozenia'!$B$10*'Zalozenia'!$C$77)*'Zalozenia'!$B$3</f>
        <v/>
      </c>
      <c r="D5" s="16">
        <f>('Zalozenia'!$B$6*'Zalozenia'!$D$73+'Zalozenia'!$B$7*'Zalozenia'!$D$74+'Zalozenia'!$B$8*'Zalozenia'!$D$75+'Zalozenia'!$B$9*'Zalozenia'!$D$76+'Zalozenia'!$B$10*'Zalozenia'!$D$77)*'Zalozenia'!$B$3</f>
        <v/>
      </c>
    </row>
    <row r="6">
      <c r="A6" t="inlineStr">
        <is>
          <t>Dane: Apollo, wyszukiwarka, weryfikacja</t>
        </is>
      </c>
      <c r="B6" s="16">
        <f>'Zalozenia'!$B$78</f>
        <v/>
      </c>
      <c r="C6" s="16">
        <f>'Zalozenia'!$C$78</f>
        <v/>
      </c>
      <c r="D6" s="16">
        <f>'Zalozenia'!$D$78</f>
        <v/>
      </c>
    </row>
    <row r="7">
      <c r="A7" s="5" t="inlineStr">
        <is>
          <t>Koszt krancowy gotowkowy na klienta</t>
        </is>
      </c>
      <c r="B7" s="15">
        <f>B5+B6</f>
        <v/>
      </c>
      <c r="C7" s="15">
        <f>C5+C6</f>
        <v/>
      </c>
      <c r="D7" s="15">
        <f>D5+D6</f>
        <v/>
      </c>
    </row>
    <row r="9">
      <c r="A9" s="10" t="inlineStr">
        <is>
          <t>Rozpietosc miedzy najlzejszym a najciezszym klientem</t>
        </is>
      </c>
      <c r="B9" s="29">
        <f>D7/B7</f>
        <v/>
      </c>
    </row>
    <row r="10">
      <c r="A10" s="2" t="inlineStr">
        <is>
          <t>Limit stanowisk NIE ogranicza tej rozpietosci. Ten sam klient moze miec 3 stanowiska przy kazdym z tych wolumenow.</t>
        </is>
      </c>
    </row>
    <row r="12">
      <c r="A12" s="1" t="inlineStr">
        <is>
          <t>Koszt krancowy jako udzial ceny</t>
        </is>
      </c>
    </row>
    <row r="14">
      <c r="A14" s="5" t="inlineStr">
        <is>
          <t>Cena abonamentu</t>
        </is>
      </c>
      <c r="B14" s="5" t="inlineStr">
        <is>
          <t>Niski</t>
        </is>
      </c>
      <c r="C14" s="5" t="inlineStr">
        <is>
          <t>Sredni</t>
        </is>
      </c>
      <c r="D14" s="5" t="inlineStr">
        <is>
          <t>Wysoki</t>
        </is>
      </c>
    </row>
    <row r="15">
      <c r="A15" s="16">
        <f>'Zalozenia'!$B$31</f>
        <v/>
      </c>
      <c r="B15" s="17">
        <f>B$7/$A15</f>
        <v/>
      </c>
      <c r="C15" s="17">
        <f>C$7/$A15</f>
        <v/>
      </c>
      <c r="D15" s="17">
        <f>D$7/$A15</f>
        <v/>
      </c>
    </row>
    <row r="16">
      <c r="A16" s="16">
        <f>'Zalozenia'!$B$32</f>
        <v/>
      </c>
      <c r="B16" s="17">
        <f>B$7/$A16</f>
        <v/>
      </c>
      <c r="C16" s="17">
        <f>C$7/$A16</f>
        <v/>
      </c>
      <c r="D16" s="17">
        <f>D$7/$A16</f>
        <v/>
      </c>
    </row>
    <row r="18">
      <c r="A18" s="1" t="inlineStr">
        <is>
          <t>Rama porownawcza dla kupujacego (PLN/mies., szacunki rynkowe)</t>
        </is>
      </c>
    </row>
    <row r="20">
      <c r="A20" s="5" t="inlineStr">
        <is>
          <t>Alternatywa klienta</t>
        </is>
      </c>
      <c r="B20" s="5" t="inlineStr">
        <is>
          <t>Od</t>
        </is>
      </c>
      <c r="C20" s="5" t="inlineStr">
        <is>
          <t>Do</t>
        </is>
      </c>
    </row>
    <row r="21">
      <c r="A21" s="3" t="inlineStr">
        <is>
          <t>Junior SDR, pelny koszt pracodawcy</t>
        </is>
      </c>
      <c r="B21" s="9" t="n">
        <v>8500</v>
      </c>
      <c r="C21" s="9" t="n">
        <v>11000</v>
      </c>
    </row>
    <row r="22">
      <c r="A22" s="3" t="inlineStr">
        <is>
          <t>Agencja outboundowa, retainer</t>
        </is>
      </c>
      <c r="B22" s="9" t="n">
        <v>5000</v>
      </c>
      <c r="C22" s="9" t="n">
        <v>15000</v>
      </c>
    </row>
    <row r="23">
      <c r="A23" s="3" t="inlineStr">
        <is>
          <t>CRM rozliczany per stanowisko, 5 stanowisk</t>
        </is>
      </c>
      <c r="B23" s="9" t="n">
        <v>245</v>
      </c>
      <c r="C23" s="9" t="n">
        <v>1250</v>
      </c>
    </row>
    <row r="25">
      <c r="A25" s="10" t="inlineStr">
        <is>
          <t>ValenOS przy cenie standard</t>
        </is>
      </c>
      <c r="B25" s="26">
        <f>'Zalozenia'!$B$32</f>
        <v/>
      </c>
    </row>
    <row r="26">
      <c r="A26" t="inlineStr">
        <is>
          <t>Przy wycenie per stanowisko, 5 stanowisk, wyszloby na stanowisko</t>
        </is>
      </c>
      <c r="B26" s="16">
        <f>'Zalozenia'!$B$32/5</f>
        <v/>
      </c>
    </row>
    <row r="27">
      <c r="A27" t="inlineStr">
        <is>
          <t>Gorna granica polskiego rynku CRM za stanowisko</t>
        </is>
      </c>
      <c r="B27" s="9" t="n">
        <v>250</v>
      </c>
    </row>
    <row r="28">
      <c r="A28" t="inlineStr">
        <is>
          <t>Ile razy powyzej rynku</t>
        </is>
      </c>
      <c r="B28" s="29">
        <f>B26/B27</f>
        <v/>
      </c>
    </row>
    <row r="30">
      <c r="A30" s="2" t="inlineStr">
        <is>
          <t>Wniosek: retainer ustawia porownanie z kosztem handlowca lub agencji, gdzie ValenOS wygrywa. Wycena per stanowisko ustawia porownanie z Pipedrive, gdzie przegrywa 4x.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Plan dwunastu miesiecy, model masowy</t>
        </is>
      </c>
    </row>
    <row r="2">
      <c r="A2" s="2" t="inlineStr">
        <is>
          <t>PROGNOZA. Brak oplaty wdrozeniowej, caly przychod powtarzalny.</t>
        </is>
      </c>
    </row>
    <row r="4">
      <c r="A4" s="5" t="inlineStr">
        <is>
          <t>Mies.</t>
        </is>
      </c>
      <c r="B4" s="5" t="inlineStr">
        <is>
          <t>Konwersja</t>
        </is>
      </c>
      <c r="C4" s="5" t="inlineStr">
        <is>
          <t>Nowych</t>
        </is>
      </c>
      <c r="D4" s="5" t="inlineStr">
        <is>
          <t>Klientow</t>
        </is>
      </c>
      <c r="E4" s="5" t="inlineStr">
        <is>
          <t>MRR</t>
        </is>
      </c>
      <c r="F4" s="5" t="inlineStr">
        <is>
          <t>COGS</t>
        </is>
      </c>
      <c r="G4" s="5" t="inlineStr">
        <is>
          <t>Koszty stale</t>
        </is>
      </c>
      <c r="H4" s="5" t="inlineStr">
        <is>
          <t>Wynik</t>
        </is>
      </c>
      <c r="I4" s="5" t="inlineStr">
        <is>
          <t>Narastajaco</t>
        </is>
      </c>
      <c r="J4" s="5" t="inlineStr">
        <is>
          <t>Godziny Mario</t>
        </is>
      </c>
    </row>
    <row r="5">
      <c r="A5" t="n">
        <v>1</v>
      </c>
      <c r="B5" s="17">
        <f>IF(A5&lt;=3,'Zalozenia'!$B$93,IF(A5&lt;=6,'Zalozenia'!$B$94,IF(A5&lt;=9,'Zalozenia'!$B$95,'Zalozenia'!$B$96)))</f>
        <v/>
      </c>
      <c r="C5" s="25">
        <f>'Zalozenia'!$B$51*B5</f>
        <v/>
      </c>
      <c r="D5" s="32">
        <f>C5</f>
        <v/>
      </c>
      <c r="E5" s="16">
        <f>D5*Cennik!$B$26</f>
        <v/>
      </c>
      <c r="F5" s="16">
        <f>D5*Cennik!$B$27</f>
        <v/>
      </c>
      <c r="G5" s="16">
        <f>'Zalozenia'!$B$41+'Zalozenia'!$B$42</f>
        <v/>
      </c>
      <c r="H5" s="16">
        <f>E5-F5-G5</f>
        <v/>
      </c>
      <c r="I5" s="16">
        <f>H5</f>
        <v/>
      </c>
      <c r="J5" s="35">
        <f>40+'Zalozenia'!$B$51*1.5+C5*'Zalozenia'!$B$97+D5*'Zalozenia'!$B$98</f>
        <v/>
      </c>
    </row>
    <row r="6">
      <c r="A6" t="n">
        <v>2</v>
      </c>
      <c r="B6" s="17">
        <f>IF(A6&lt;=3,'Zalozenia'!$B$93,IF(A6&lt;=6,'Zalozenia'!$B$94,IF(A6&lt;=9,'Zalozenia'!$B$95,'Zalozenia'!$B$96)))</f>
        <v/>
      </c>
      <c r="C6" s="25">
        <f>'Zalozenia'!$B$51*B6</f>
        <v/>
      </c>
      <c r="D6" s="32">
        <f>D5*(1-'Zalozenia'!$B$62)+C6</f>
        <v/>
      </c>
      <c r="E6" s="16">
        <f>D6*Cennik!$B$26</f>
        <v/>
      </c>
      <c r="F6" s="16">
        <f>D6*Cennik!$B$27</f>
        <v/>
      </c>
      <c r="G6" s="16">
        <f>'Zalozenia'!$B$41+'Zalozenia'!$B$42</f>
        <v/>
      </c>
      <c r="H6" s="16">
        <f>E6-F6-G6</f>
        <v/>
      </c>
      <c r="I6" s="16">
        <f>I5+H6</f>
        <v/>
      </c>
      <c r="J6" s="35">
        <f>40+'Zalozenia'!$B$51*1.5+C6*'Zalozenia'!$B$97+D6*'Zalozenia'!$B$98</f>
        <v/>
      </c>
    </row>
    <row r="7">
      <c r="A7" t="n">
        <v>3</v>
      </c>
      <c r="B7" s="17">
        <f>IF(A7&lt;=3,'Zalozenia'!$B$93,IF(A7&lt;=6,'Zalozenia'!$B$94,IF(A7&lt;=9,'Zalozenia'!$B$95,'Zalozenia'!$B$96)))</f>
        <v/>
      </c>
      <c r="C7" s="25">
        <f>'Zalozenia'!$B$51*B7</f>
        <v/>
      </c>
      <c r="D7" s="32">
        <f>D6*(1-'Zalozenia'!$B$62)+C7</f>
        <v/>
      </c>
      <c r="E7" s="16">
        <f>D7*Cennik!$B$26</f>
        <v/>
      </c>
      <c r="F7" s="16">
        <f>D7*Cennik!$B$27</f>
        <v/>
      </c>
      <c r="G7" s="16">
        <f>'Zalozenia'!$B$41+'Zalozenia'!$B$42</f>
        <v/>
      </c>
      <c r="H7" s="16">
        <f>E7-F7-G7</f>
        <v/>
      </c>
      <c r="I7" s="16">
        <f>I6+H7</f>
        <v/>
      </c>
      <c r="J7" s="35">
        <f>40+'Zalozenia'!$B$51*1.5+C7*'Zalozenia'!$B$97+D7*'Zalozenia'!$B$98</f>
        <v/>
      </c>
    </row>
    <row r="8">
      <c r="A8" t="n">
        <v>4</v>
      </c>
      <c r="B8" s="17">
        <f>IF(A8&lt;=3,'Zalozenia'!$B$93,IF(A8&lt;=6,'Zalozenia'!$B$94,IF(A8&lt;=9,'Zalozenia'!$B$95,'Zalozenia'!$B$96)))</f>
        <v/>
      </c>
      <c r="C8" s="25">
        <f>'Zalozenia'!$B$51*B8</f>
        <v/>
      </c>
      <c r="D8" s="32">
        <f>D7*(1-'Zalozenia'!$B$62)+C8</f>
        <v/>
      </c>
      <c r="E8" s="16">
        <f>D8*Cennik!$B$26</f>
        <v/>
      </c>
      <c r="F8" s="16">
        <f>D8*Cennik!$B$27</f>
        <v/>
      </c>
      <c r="G8" s="16">
        <f>'Zalozenia'!$B$41+'Zalozenia'!$B$42</f>
        <v/>
      </c>
      <c r="H8" s="16">
        <f>E8-F8-G8</f>
        <v/>
      </c>
      <c r="I8" s="16">
        <f>I7+H8</f>
        <v/>
      </c>
      <c r="J8" s="35">
        <f>40+'Zalozenia'!$B$51*1.5+C8*'Zalozenia'!$B$97+D8*'Zalozenia'!$B$98</f>
        <v/>
      </c>
    </row>
    <row r="9">
      <c r="A9" t="n">
        <v>5</v>
      </c>
      <c r="B9" s="17">
        <f>IF(A9&lt;=3,'Zalozenia'!$B$93,IF(A9&lt;=6,'Zalozenia'!$B$94,IF(A9&lt;=9,'Zalozenia'!$B$95,'Zalozenia'!$B$96)))</f>
        <v/>
      </c>
      <c r="C9" s="25">
        <f>'Zalozenia'!$B$51*B9</f>
        <v/>
      </c>
      <c r="D9" s="32">
        <f>D8*(1-'Zalozenia'!$B$62)+C9</f>
        <v/>
      </c>
      <c r="E9" s="16">
        <f>D9*Cennik!$B$26</f>
        <v/>
      </c>
      <c r="F9" s="16">
        <f>D9*Cennik!$B$27</f>
        <v/>
      </c>
      <c r="G9" s="16">
        <f>'Zalozenia'!$B$41+'Zalozenia'!$B$42</f>
        <v/>
      </c>
      <c r="H9" s="16">
        <f>E9-F9-G9</f>
        <v/>
      </c>
      <c r="I9" s="16">
        <f>I8+H9</f>
        <v/>
      </c>
      <c r="J9" s="35">
        <f>40+'Zalozenia'!$B$51*1.5+C9*'Zalozenia'!$B$97+D9*'Zalozenia'!$B$98</f>
        <v/>
      </c>
    </row>
    <row r="10">
      <c r="A10" t="n">
        <v>6</v>
      </c>
      <c r="B10" s="17">
        <f>IF(A10&lt;=3,'Zalozenia'!$B$93,IF(A10&lt;=6,'Zalozenia'!$B$94,IF(A10&lt;=9,'Zalozenia'!$B$95,'Zalozenia'!$B$96)))</f>
        <v/>
      </c>
      <c r="C10" s="25">
        <f>'Zalozenia'!$B$51*B10</f>
        <v/>
      </c>
      <c r="D10" s="32">
        <f>D9*(1-'Zalozenia'!$B$62)+C10</f>
        <v/>
      </c>
      <c r="E10" s="16">
        <f>D10*Cennik!$B$26</f>
        <v/>
      </c>
      <c r="F10" s="16">
        <f>D10*Cennik!$B$27</f>
        <v/>
      </c>
      <c r="G10" s="16">
        <f>'Zalozenia'!$B$41+'Zalozenia'!$B$42</f>
        <v/>
      </c>
      <c r="H10" s="16">
        <f>E10-F10-G10</f>
        <v/>
      </c>
      <c r="I10" s="16">
        <f>I9+H10</f>
        <v/>
      </c>
      <c r="J10" s="35">
        <f>40+'Zalozenia'!$B$51*1.5+C10*'Zalozenia'!$B$97+D10*'Zalozenia'!$B$98</f>
        <v/>
      </c>
    </row>
    <row r="11">
      <c r="A11" t="n">
        <v>7</v>
      </c>
      <c r="B11" s="17">
        <f>IF(A11&lt;=3,'Zalozenia'!$B$93,IF(A11&lt;=6,'Zalozenia'!$B$94,IF(A11&lt;=9,'Zalozenia'!$B$95,'Zalozenia'!$B$96)))</f>
        <v/>
      </c>
      <c r="C11" s="25">
        <f>'Zalozenia'!$B$51*B11</f>
        <v/>
      </c>
      <c r="D11" s="32">
        <f>D10*(1-'Zalozenia'!$B$62)+C11</f>
        <v/>
      </c>
      <c r="E11" s="16">
        <f>D11*Cennik!$B$26</f>
        <v/>
      </c>
      <c r="F11" s="16">
        <f>D11*Cennik!$B$27</f>
        <v/>
      </c>
      <c r="G11" s="16">
        <f>'Zalozenia'!$B$41+'Zalozenia'!$B$42</f>
        <v/>
      </c>
      <c r="H11" s="16">
        <f>E11-F11-G11</f>
        <v/>
      </c>
      <c r="I11" s="16">
        <f>I10+H11</f>
        <v/>
      </c>
      <c r="J11" s="35">
        <f>40+'Zalozenia'!$B$51*1.5+C11*'Zalozenia'!$B$97+D11*'Zalozenia'!$B$98</f>
        <v/>
      </c>
    </row>
    <row r="12">
      <c r="A12" t="n">
        <v>8</v>
      </c>
      <c r="B12" s="17">
        <f>IF(A12&lt;=3,'Zalozenia'!$B$93,IF(A12&lt;=6,'Zalozenia'!$B$94,IF(A12&lt;=9,'Zalozenia'!$B$95,'Zalozenia'!$B$96)))</f>
        <v/>
      </c>
      <c r="C12" s="25">
        <f>'Zalozenia'!$B$51*B12</f>
        <v/>
      </c>
      <c r="D12" s="32">
        <f>D11*(1-'Zalozenia'!$B$62)+C12</f>
        <v/>
      </c>
      <c r="E12" s="16">
        <f>D12*Cennik!$B$26</f>
        <v/>
      </c>
      <c r="F12" s="16">
        <f>D12*Cennik!$B$27</f>
        <v/>
      </c>
      <c r="G12" s="16">
        <f>'Zalozenia'!$B$41+'Zalozenia'!$B$42</f>
        <v/>
      </c>
      <c r="H12" s="16">
        <f>E12-F12-G12</f>
        <v/>
      </c>
      <c r="I12" s="16">
        <f>I11+H12</f>
        <v/>
      </c>
      <c r="J12" s="35">
        <f>40+'Zalozenia'!$B$51*1.5+C12*'Zalozenia'!$B$97+D12*'Zalozenia'!$B$98</f>
        <v/>
      </c>
    </row>
    <row r="13">
      <c r="A13" t="n">
        <v>9</v>
      </c>
      <c r="B13" s="17">
        <f>IF(A13&lt;=3,'Zalozenia'!$B$93,IF(A13&lt;=6,'Zalozenia'!$B$94,IF(A13&lt;=9,'Zalozenia'!$B$95,'Zalozenia'!$B$96)))</f>
        <v/>
      </c>
      <c r="C13" s="25">
        <f>'Zalozenia'!$B$51*B13</f>
        <v/>
      </c>
      <c r="D13" s="32">
        <f>D12*(1-'Zalozenia'!$B$62)+C13</f>
        <v/>
      </c>
      <c r="E13" s="16">
        <f>D13*Cennik!$B$26</f>
        <v/>
      </c>
      <c r="F13" s="16">
        <f>D13*Cennik!$B$27</f>
        <v/>
      </c>
      <c r="G13" s="16">
        <f>'Zalozenia'!$B$41+'Zalozenia'!$B$42</f>
        <v/>
      </c>
      <c r="H13" s="16">
        <f>E13-F13-G13</f>
        <v/>
      </c>
      <c r="I13" s="16">
        <f>I12+H13</f>
        <v/>
      </c>
      <c r="J13" s="35">
        <f>40+'Zalozenia'!$B$51*1.5+C13*'Zalozenia'!$B$97+D13*'Zalozenia'!$B$98</f>
        <v/>
      </c>
    </row>
    <row r="14">
      <c r="A14" t="n">
        <v>10</v>
      </c>
      <c r="B14" s="17">
        <f>IF(A14&lt;=3,'Zalozenia'!$B$93,IF(A14&lt;=6,'Zalozenia'!$B$94,IF(A14&lt;=9,'Zalozenia'!$B$95,'Zalozenia'!$B$96)))</f>
        <v/>
      </c>
      <c r="C14" s="25">
        <f>'Zalozenia'!$B$51*B14</f>
        <v/>
      </c>
      <c r="D14" s="32">
        <f>D13*(1-'Zalozenia'!$B$62)+C14</f>
        <v/>
      </c>
      <c r="E14" s="16">
        <f>D14*Cennik!$B$26</f>
        <v/>
      </c>
      <c r="F14" s="16">
        <f>D14*Cennik!$B$27</f>
        <v/>
      </c>
      <c r="G14" s="16">
        <f>'Zalozenia'!$B$41+'Zalozenia'!$B$42</f>
        <v/>
      </c>
      <c r="H14" s="16">
        <f>E14-F14-G14</f>
        <v/>
      </c>
      <c r="I14" s="16">
        <f>I13+H14</f>
        <v/>
      </c>
      <c r="J14" s="35">
        <f>40+'Zalozenia'!$B$51*1.5+C14*'Zalozenia'!$B$97+D14*'Zalozenia'!$B$98</f>
        <v/>
      </c>
    </row>
    <row r="15">
      <c r="A15" t="n">
        <v>11</v>
      </c>
      <c r="B15" s="17">
        <f>IF(A15&lt;=3,'Zalozenia'!$B$93,IF(A15&lt;=6,'Zalozenia'!$B$94,IF(A15&lt;=9,'Zalozenia'!$B$95,'Zalozenia'!$B$96)))</f>
        <v/>
      </c>
      <c r="C15" s="25">
        <f>'Zalozenia'!$B$51*B15</f>
        <v/>
      </c>
      <c r="D15" s="32">
        <f>D14*(1-'Zalozenia'!$B$62)+C15</f>
        <v/>
      </c>
      <c r="E15" s="16">
        <f>D15*Cennik!$B$26</f>
        <v/>
      </c>
      <c r="F15" s="16">
        <f>D15*Cennik!$B$27</f>
        <v/>
      </c>
      <c r="G15" s="16">
        <f>'Zalozenia'!$B$41+'Zalozenia'!$B$42</f>
        <v/>
      </c>
      <c r="H15" s="16">
        <f>E15-F15-G15</f>
        <v/>
      </c>
      <c r="I15" s="16">
        <f>I14+H15</f>
        <v/>
      </c>
      <c r="J15" s="35">
        <f>40+'Zalozenia'!$B$51*1.5+C15*'Zalozenia'!$B$97+D15*'Zalozenia'!$B$98</f>
        <v/>
      </c>
    </row>
    <row r="16">
      <c r="A16" t="n">
        <v>12</v>
      </c>
      <c r="B16" s="17">
        <f>IF(A16&lt;=3,'Zalozenia'!$B$93,IF(A16&lt;=6,'Zalozenia'!$B$94,IF(A16&lt;=9,'Zalozenia'!$B$95,'Zalozenia'!$B$96)))</f>
        <v/>
      </c>
      <c r="C16" s="25">
        <f>'Zalozenia'!$B$51*B16</f>
        <v/>
      </c>
      <c r="D16" s="32">
        <f>D15*(1-'Zalozenia'!$B$62)+C16</f>
        <v/>
      </c>
      <c r="E16" s="16">
        <f>D16*Cennik!$B$26</f>
        <v/>
      </c>
      <c r="F16" s="16">
        <f>D16*Cennik!$B$27</f>
        <v/>
      </c>
      <c r="G16" s="16">
        <f>'Zalozenia'!$B$41+'Zalozenia'!$B$42</f>
        <v/>
      </c>
      <c r="H16" s="16">
        <f>E16-F16-G16</f>
        <v/>
      </c>
      <c r="I16" s="16">
        <f>I15+H16</f>
        <v/>
      </c>
      <c r="J16" s="35">
        <f>40+'Zalozenia'!$B$51*1.5+C16*'Zalozenia'!$B$97+D16*'Zalozenia'!$B$98</f>
        <v/>
      </c>
    </row>
    <row r="18">
      <c r="A18" s="10" t="inlineStr">
        <is>
          <t>Wynik narastajaco po wycenie pracy obu zalozycieli</t>
        </is>
      </c>
      <c r="D18" s="26">
        <f>I16-'Zalozenia'!$B$48*12</f>
        <v/>
      </c>
    </row>
    <row r="19">
      <c r="A19" s="2" t="inlineStr">
        <is>
          <t>Kolumna Godziny Mario: outbound 40 h + spotkania + onboarding + wsparcie. Powyzej ~170 h potrzebna pierwsza osoba.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2026-10-04T15:56:17Z</dcterms:created>
  <dcterms:modified xsi:type="dcterms:W3CDTF">2026-10-05T08:08:01Z</dcterms:modified>
</cp:coreProperties>
</file>